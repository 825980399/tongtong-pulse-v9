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对标矩阵" sheetId="1" state="visible" r:id="rId1"/>
    <sheet xmlns:r="http://schemas.openxmlformats.org/officeDocument/2006/relationships" name="已知问题复验" sheetId="2" state="visible" r:id="rId2"/>
    <sheet xmlns:r="http://schemas.openxmlformats.org/officeDocument/2006/relationships" name="评分口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sz val="9"/>
    </font>
    <font>
      <name val="Arial"/>
      <i val="1"/>
      <color rgb="00666666"/>
      <sz val="9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  <fill>
      <patternFill patternType="solid">
        <fgColor rgb="00D9E2F3"/>
      </patternFill>
    </fill>
    <fill>
      <patternFill patternType="solid">
        <fgColor rgb="00F8CBAD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3" fillId="4" borderId="1" pivotButton="0" quotePrefix="0" xfId="0"/>
    <xf numFmtId="164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7" customWidth="1" min="2" max="2"/>
    <col width="9" customWidth="1" min="3" max="3"/>
    <col width="8" customWidth="1" min="4" max="4"/>
    <col width="13" customWidth="1" min="5" max="5"/>
    <col width="9" customWidth="1" min="6" max="6"/>
    <col width="8" customWidth="1" min="7" max="7"/>
    <col width="12" customWidth="1" min="8" max="8"/>
    <col width="9" customWidth="1" min="9" max="9"/>
    <col width="60" customWidth="1" min="10" max="10"/>
  </cols>
  <sheetData>
    <row r="1" ht="22" customHeight="1">
      <c r="A1" s="1" t="inlineStr">
        <is>
          <t>曈曈PulseNet v9.5 对标分析矩阵（2026-09-13 第三方全维度深度审查）</t>
        </is>
      </c>
    </row>
    <row r="3">
      <c r="A3" s="2" t="inlineStr">
        <is>
          <t>维度</t>
        </is>
      </c>
      <c r="B3" s="2" t="inlineStr">
        <is>
          <t>权重</t>
        </is>
      </c>
      <c r="C3" s="2" t="inlineStr">
        <is>
          <t>曈曈v9.5</t>
        </is>
      </c>
      <c r="D3" s="2" t="inlineStr">
        <is>
          <t>Devin</t>
        </is>
      </c>
      <c r="E3" s="2" t="inlineStr">
        <is>
          <t>Claude Computer Use</t>
        </is>
      </c>
      <c r="F3" s="2" t="inlineStr">
        <is>
          <t>AutoGPT</t>
        </is>
      </c>
      <c r="G3" s="2" t="inlineStr">
        <is>
          <t>GPT-4o</t>
        </is>
      </c>
      <c r="H3" s="2" t="inlineStr">
        <is>
          <t>Claude 3.5 Sonnet</t>
        </is>
      </c>
      <c r="I3" s="2" t="inlineStr">
        <is>
          <t>人类(参照)</t>
        </is>
      </c>
      <c r="J3" s="2" t="inlineStr">
        <is>
          <t>曈曈关键证据(file:line)</t>
        </is>
      </c>
    </row>
    <row r="4" ht="30" customHeight="1">
      <c r="A4" s="3" t="inlineStr">
        <is>
          <t>1 架构设计与可扩展性</t>
        </is>
      </c>
      <c r="B4" s="4" t="n">
        <v>0.08890000000000001</v>
      </c>
      <c r="C4" s="5" t="n">
        <v>6</v>
      </c>
      <c r="D4" s="6" t="n">
        <v>7</v>
      </c>
      <c r="E4" s="6" t="n">
        <v>7</v>
      </c>
      <c r="F4" s="6" t="n">
        <v>5</v>
      </c>
      <c r="G4" s="6" t="n">
        <v>8</v>
      </c>
      <c r="H4" s="6" t="n">
        <v>8</v>
      </c>
      <c r="I4" s="6" t="n">
        <v>10</v>
      </c>
      <c r="J4" s="7" t="inlineStr">
        <is>
          <t>InfoField.py:397-429四层池+背压; PulseInnerWorld.py 23112行God对象; 单例+本地状态无法多实例</t>
        </is>
      </c>
    </row>
    <row r="5" ht="30" customHeight="1">
      <c r="A5" s="3" t="inlineStr">
        <is>
          <t>2 认知与推理能力</t>
        </is>
      </c>
      <c r="B5" s="4" t="n">
        <v>0.1333</v>
      </c>
      <c r="C5" s="5" t="n">
        <v>3.5</v>
      </c>
      <c r="D5" s="6" t="n">
        <v>8</v>
      </c>
      <c r="E5" s="6" t="n">
        <v>7</v>
      </c>
      <c r="F5" s="6" t="n">
        <v>4</v>
      </c>
      <c r="G5" s="6" t="n">
        <v>9</v>
      </c>
      <c r="H5" s="6" t="n">
        <v>9</v>
      </c>
      <c r="I5" s="6" t="n">
        <v>10</v>
      </c>
      <c r="J5" s="7" t="inlineStr">
        <is>
          <t>固定模板计划(18402-18464); 上限3轮; 智能全靠外接DeepSeek; 编排层工程可达7分</t>
        </is>
      </c>
    </row>
    <row r="6" ht="30" customHeight="1">
      <c r="A6" s="3" t="inlineStr">
        <is>
          <t>3 自我意识与元认知</t>
        </is>
      </c>
      <c r="B6" s="4" t="n">
        <v>0.08890000000000001</v>
      </c>
      <c r="C6" s="5" t="n">
        <v>6</v>
      </c>
      <c r="D6" s="6" t="n">
        <v>3</v>
      </c>
      <c r="E6" s="6" t="n">
        <v>3</v>
      </c>
      <c r="F6" s="6" t="n">
        <v>4</v>
      </c>
      <c r="G6" s="6" t="n">
        <v>2</v>
      </c>
      <c r="H6" s="6" t="n">
        <v>2</v>
      </c>
      <c r="I6" s="6" t="n">
        <v>10</v>
      </c>
      <c r="J6" s="7" t="inlineStr">
        <is>
          <t>五分析器真实; 但分析产物无消费者(闭环断裂); critical连续上报未修</t>
        </is>
      </c>
    </row>
    <row r="7" ht="30" customHeight="1">
      <c r="A7" s="3" t="inlineStr">
        <is>
          <t>4 学习与进化能力</t>
        </is>
      </c>
      <c r="B7" s="4" t="n">
        <v>0.08890000000000001</v>
      </c>
      <c r="C7" s="5" t="n">
        <v>6</v>
      </c>
      <c r="D7" s="6" t="n">
        <v>5</v>
      </c>
      <c r="E7" s="6" t="n">
        <v>3</v>
      </c>
      <c r="F7" s="6" t="n">
        <v>4</v>
      </c>
      <c r="G7" s="6" t="n">
        <v>5</v>
      </c>
      <c r="H7" s="6" t="n">
        <v>5</v>
      </c>
      <c r="I7" s="6" t="n">
        <v>10</v>
      </c>
      <c r="J7" s="7" t="inlineStr">
        <is>
          <t>100补丁/3回滚; Welch t检验; 但效果90%unknown+验证空转</t>
        </is>
      </c>
    </row>
    <row r="8" ht="30" customHeight="1">
      <c r="A8" s="3" t="inlineStr">
        <is>
          <t>5 情感与社交能力</t>
        </is>
      </c>
      <c r="B8" s="4" t="n">
        <v>0.07779999999999999</v>
      </c>
      <c r="C8" s="5" t="n">
        <v>6</v>
      </c>
      <c r="D8" s="6" t="n">
        <v>1</v>
      </c>
      <c r="E8" s="6" t="n">
        <v>2</v>
      </c>
      <c r="F8" s="6" t="n">
        <v>1</v>
      </c>
      <c r="G8" s="6" t="n">
        <v>8</v>
      </c>
      <c r="H8" s="6" t="n">
        <v>8</v>
      </c>
      <c r="I8" s="6" t="n">
        <v>10</v>
      </c>
      <c r="J8" s="7" t="inlineStr">
        <is>
          <t>情绪四层调制链全通; 企微IM桥; 但检测=关键词计数; 遗传层四器官空壳</t>
        </is>
      </c>
    </row>
    <row r="9" ht="30" customHeight="1">
      <c r="A9" s="3" t="inlineStr">
        <is>
          <t>6 多模态感知与表达</t>
        </is>
      </c>
      <c r="B9" s="4" t="n">
        <v>0.08890000000000001</v>
      </c>
      <c r="C9" s="5" t="n">
        <v>4</v>
      </c>
      <c r="D9" s="6" t="n">
        <v>3</v>
      </c>
      <c r="E9" s="6" t="n">
        <v>8</v>
      </c>
      <c r="F9" s="6" t="n">
        <v>2</v>
      </c>
      <c r="G9" s="6" t="n">
        <v>9</v>
      </c>
      <c r="H9" s="6" t="n">
        <v>8</v>
      </c>
      <c r="I9" s="6" t="n">
        <v>10</v>
      </c>
      <c r="J9" s="7" t="inlineStr">
        <is>
          <t>真实摄像头/Vosk ASR; 但帧从不入LLM(无VLM); 触觉=查表伪传感; ESP32零引用</t>
        </is>
      </c>
    </row>
    <row r="10" ht="30" customHeight="1">
      <c r="A10" s="3" t="inlineStr">
        <is>
          <t>7 记忆与知识管理</t>
        </is>
      </c>
      <c r="B10" s="4" t="n">
        <v>0.07779999999999999</v>
      </c>
      <c r="C10" s="5" t="n">
        <v>6</v>
      </c>
      <c r="D10" s="6" t="n">
        <v>5</v>
      </c>
      <c r="E10" s="6" t="n">
        <v>5</v>
      </c>
      <c r="F10" s="6" t="n">
        <v>4</v>
      </c>
      <c r="G10" s="6" t="n">
        <v>6</v>
      </c>
      <c r="H10" s="6" t="n">
        <v>6</v>
      </c>
      <c r="I10" s="6" t="n">
        <v>10</v>
      </c>
      <c r="J10" s="7" t="inlineStr">
        <is>
          <t>12774节点+混合检索+真实遗忘闭环; 但4.6%SERP污染锁死L3; 质量分虚高</t>
        </is>
      </c>
    </row>
    <row r="11" ht="30" customHeight="1">
      <c r="A11" s="3" t="inlineStr">
        <is>
          <t>8 工具使用与环境交互</t>
        </is>
      </c>
      <c r="B11" s="4" t="n">
        <v>0.0667</v>
      </c>
      <c r="C11" s="5" t="n">
        <v>5</v>
      </c>
      <c r="D11" s="6" t="n">
        <v>9</v>
      </c>
      <c r="E11" s="6" t="n">
        <v>9</v>
      </c>
      <c r="F11" s="6" t="n">
        <v>6</v>
      </c>
      <c r="G11" s="6" t="n">
        <v>8</v>
      </c>
      <c r="H11" s="6" t="n">
        <v>8</v>
      </c>
      <c r="I11" s="6" t="n">
        <v>9</v>
      </c>
      <c r="J11" s="7" t="inlineStr">
        <is>
          <t>无function-calling协议; ToolRegistry死代码; 沙箱单独看8分(子进程+四道RLIMIT)</t>
        </is>
      </c>
    </row>
    <row r="12" ht="30" customHeight="1">
      <c r="A12" s="3" t="inlineStr">
        <is>
          <t>9 鲁棒性与安全性</t>
        </is>
      </c>
      <c r="B12" s="4" t="n">
        <v>0.0667</v>
      </c>
      <c r="C12" s="5" t="n">
        <v>6</v>
      </c>
      <c r="D12" s="6" t="n">
        <v>7</v>
      </c>
      <c r="E12" s="6" t="n">
        <v>7</v>
      </c>
      <c r="F12" s="6" t="n">
        <v>4</v>
      </c>
      <c r="G12" s="6" t="n">
        <v>8</v>
      </c>
      <c r="H12" s="6" t="n">
        <v>8</v>
      </c>
      <c r="I12" s="6" t="n">
        <v>9</v>
      </c>
      <c r="J12" s="7" t="inlineStr">
        <is>
          <t>密钥env化+四层故障隔离; 但except Exception 2443处+静默吞351处</t>
        </is>
      </c>
    </row>
    <row r="13" ht="30" customHeight="1">
      <c r="A13" s="3" t="inlineStr">
        <is>
          <t>10 性能与资源效率</t>
        </is>
      </c>
      <c r="B13" s="4" t="n">
        <v>0.0667</v>
      </c>
      <c r="C13" s="5" t="n">
        <v>6</v>
      </c>
      <c r="D13" s="6" t="n">
        <v>7</v>
      </c>
      <c r="E13" s="6" t="n">
        <v>7</v>
      </c>
      <c r="F13" s="6" t="n">
        <v>4</v>
      </c>
      <c r="G13" s="6" t="n">
        <v>8</v>
      </c>
      <c r="H13" s="6" t="n">
        <v>8</v>
      </c>
      <c r="I13" s="6" t="n">
        <v>10</v>
      </c>
      <c r="J13" s="7" t="inlineStr">
        <is>
          <t>脉冲均耗2.21ms; Cython热点已编译; 全线程模型无asyncio; L3动态扩缩真实</t>
        </is>
      </c>
    </row>
    <row r="14" ht="30" customHeight="1">
      <c r="A14" s="3" t="inlineStr">
        <is>
          <t>11 工程质量与可维护性</t>
        </is>
      </c>
      <c r="B14" s="4" t="n">
        <v>0.08890000000000001</v>
      </c>
      <c r="C14" s="5" t="n">
        <v>5</v>
      </c>
      <c r="D14" s="6" t="n">
        <v>8</v>
      </c>
      <c r="E14" s="6" t="n">
        <v>8</v>
      </c>
      <c r="F14" s="6" t="n">
        <v>5</v>
      </c>
      <c r="G14" s="6" t="n">
        <v>9</v>
      </c>
      <c r="H14" s="6" t="n">
        <v>9</v>
      </c>
      <c r="I14" s="6" t="n"/>
      <c r="J14" s="7" t="inlineStr">
        <is>
          <t>1175例测试(1166通过/9失败)+元测试; 但23k行God文件/ruff 899/无依赖锁定/226项未提交</t>
        </is>
      </c>
    </row>
    <row r="15" ht="30" customHeight="1">
      <c r="A15" s="3" t="inlineStr">
        <is>
          <t>12 创新性与独特价值</t>
        </is>
      </c>
      <c r="B15" s="4" t="n">
        <v>0.0667</v>
      </c>
      <c r="C15" s="5" t="n">
        <v>7</v>
      </c>
      <c r="D15" s="6" t="n">
        <v>6</v>
      </c>
      <c r="E15" s="6" t="n">
        <v>7</v>
      </c>
      <c r="F15" s="6" t="n">
        <v>6</v>
      </c>
      <c r="G15" s="6" t="n">
        <v>8</v>
      </c>
      <c r="H15" s="6" t="n">
        <v>8</v>
      </c>
      <c r="I15" s="6" t="n">
        <v>10</v>
      </c>
      <c r="J15" s="7" t="inlineStr">
        <is>
          <t>情绪调制推理+生命线分级调度+自进化骨架=三项独有; 伦理闸门橡皮图章扣分</t>
        </is>
      </c>
    </row>
    <row r="16" ht="30" customHeight="1">
      <c r="A16" s="8" t="inlineStr">
        <is>
          <t>加权总分</t>
        </is>
      </c>
      <c r="B16" s="9">
        <f>SUM(B4:B15)</f>
        <v/>
      </c>
      <c r="C16" s="10">
        <f>ROUND(SUMPRODUCT(B4:B15,C4:C15),2)</f>
        <v/>
      </c>
      <c r="D16" s="10">
        <f>ROUND(SUMPRODUCT($B$4:$B$15,D4:D15),2)</f>
        <v/>
      </c>
      <c r="E16" s="10">
        <f>ROUND(SUMPRODUCT($B$4:$B$15,E4:E15),2)</f>
        <v/>
      </c>
      <c r="F16" s="10">
        <f>ROUND(SUMPRODUCT($B$4:$B$15,F4:F15),2)</f>
        <v/>
      </c>
      <c r="G16" s="10">
        <f>ROUND(SUMPRODUCT($B$4:$B$15,G4:G15),2)</f>
        <v/>
      </c>
      <c r="H16" s="10">
        <f>ROUND(SUMPRODUCT($B$4:$B$15,H4:H15),2)</f>
        <v/>
      </c>
      <c r="I16" s="10">
        <f>ROUND(SUMPRODUCT($B$4:$B$15,I4:I15),2)</f>
        <v/>
      </c>
      <c r="J16" s="10" t="inlineStr">
        <is>
          <t>权重:核心认知组(2/3/4/5/12)61%+支撑组27%+基础组12%; 人类列为参照系(11维无值不计入)</t>
        </is>
      </c>
    </row>
    <row r="18">
      <c r="A18" s="11" t="inlineStr">
        <is>
          <t>注：大模型行的架构/工程分指其母公司服务化工程；GPT-4o/Claude的学习/记忆分指微调/上下文等效能力；人类=10为基准参照。评分为2026-09-13第三方独立审查（证据见主报告）。</t>
        </is>
      </c>
    </row>
  </sheetData>
  <mergeCells count="2">
    <mergeCell ref="A1:J1"/>
    <mergeCell ref="A18:J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48" customWidth="1" min="3" max="3"/>
    <col width="30" customWidth="1" min="4" max="4"/>
  </cols>
  <sheetData>
    <row r="1">
      <c r="A1" s="1" t="inlineStr">
        <is>
          <t>已知问题复验总表（vs 2026-09-11第三方分析报告）</t>
        </is>
      </c>
    </row>
    <row r="3">
      <c r="A3" s="2" t="inlineStr">
        <is>
          <t>问题</t>
        </is>
      </c>
      <c r="B3" s="2" t="inlineStr">
        <is>
          <t>复验结果</t>
        </is>
      </c>
      <c r="C3" s="2" t="inlineStr">
        <is>
          <t>证据</t>
        </is>
      </c>
      <c r="D3" s="2" t="inlineStr">
        <is>
          <t>处置</t>
        </is>
      </c>
    </row>
    <row r="4">
      <c r="A4" s="12" t="inlineStr">
        <is>
          <t>多模态帧从不入LLM</t>
        </is>
      </c>
      <c r="B4" s="13" t="inlineStr">
        <is>
          <t>仍存在(部分缓解)</t>
        </is>
      </c>
      <c r="C4" s="12" t="inlineStr">
        <is>
          <t>PulseVisualCortex.py:556-583; ocr_engine.py:136-150</t>
        </is>
      </c>
      <c r="D4" s="12" t="inlineStr">
        <is>
          <t>P1-8 接入VLM</t>
        </is>
      </c>
    </row>
    <row r="5">
      <c r="A5" s="12" t="inlineStr">
        <is>
          <t>无真多轮对话</t>
        </is>
      </c>
      <c r="B5" s="14" t="inlineStr">
        <is>
          <t>已修复</t>
        </is>
      </c>
      <c r="C5" s="12" t="inlineStr">
        <is>
          <t>PulseLung.py:210-219双轮+2000字符预算</t>
        </is>
      </c>
      <c r="D5" s="12" t="inlineStr">
        <is>
          <t>遗留:内存deque重启即失</t>
        </is>
      </c>
    </row>
    <row r="6">
      <c r="A6" s="12" t="inlineStr">
        <is>
          <t>长答被腰斩</t>
        </is>
      </c>
      <c r="B6" s="15" t="inlineStr">
        <is>
          <t>部分修复</t>
        </is>
      </c>
      <c r="C6" s="12" t="inlineStr">
        <is>
          <t>max_tokens 512→1024; 默认仍1000字截断(config.py:1345)</t>
        </is>
      </c>
      <c r="D6" s="12" t="inlineStr">
        <is>
          <t>默认改0或3000</t>
        </is>
      </c>
    </row>
    <row r="7">
      <c r="A7" s="12" t="inlineStr">
        <is>
          <t>SafeEvolutionExecutor硬编码模型名</t>
        </is>
      </c>
      <c r="B7" s="14" t="inlineStr">
        <is>
          <t>已修复</t>
        </is>
      </c>
      <c r="C7" s="12" t="inlineStr">
        <is>
          <t>:729/2114/2210改读配置+防回归测试</t>
        </is>
      </c>
      <c r="D7" s="12" t="inlineStr">
        <is>
          <t>已闭环</t>
        </is>
      </c>
    </row>
    <row r="8">
      <c r="A8" s="12" t="inlineStr">
        <is>
          <t>TaskPipeline空转</t>
        </is>
      </c>
      <c r="B8" s="13" t="inlineStr">
        <is>
          <t>仍存在</t>
        </is>
      </c>
      <c r="C8" s="12" t="inlineStr">
        <is>
          <t>register_pipeline零生产调用; runtime_state recent_count=0</t>
        </is>
      </c>
      <c r="D8" s="12" t="inlineStr">
        <is>
          <t>P1-10 接线或下线</t>
        </is>
      </c>
    </row>
    <row r="9">
      <c r="A9" s="12" t="inlineStr">
        <is>
          <t>经验库污染/写入端无去重</t>
        </is>
      </c>
      <c r="B9" s="14" t="inlineStr">
        <is>
          <t>写入端已修复</t>
        </is>
      </c>
      <c r="C9" s="12" t="inlineStr">
        <is>
          <t>experience_pool.py:171-186; 新增重复率1.3%</t>
        </is>
      </c>
      <c r="D9" s="12" t="inlineStr">
        <is>
          <t>存量80.2%未清+检索端未过滤(P1-5)</t>
        </is>
      </c>
    </row>
    <row r="10">
      <c r="A10" s="12" t="inlineStr">
        <is>
          <t>SERP页脚污染知识库</t>
        </is>
      </c>
      <c r="B10" s="13" t="inlineStr">
        <is>
          <t>仍存在且恶化</t>
        </is>
      </c>
      <c r="C10" s="12" t="inlineStr">
        <is>
          <t>592节点含'›', L3=226永不淘汰</t>
        </is>
      </c>
      <c r="D10" s="12" t="inlineStr">
        <is>
          <t>P0-3 一次性治理</t>
        </is>
      </c>
    </row>
    <row r="11">
      <c r="A11" s="12" t="inlineStr">
        <is>
          <t>ESP32躯体驱动零引用</t>
        </is>
      </c>
      <c r="B11" s="13" t="inlineStr">
        <is>
          <t>仍存在</t>
        </is>
      </c>
      <c r="C11" s="12" t="inlineStr">
        <is>
          <t>hardware/robot_body/全库无import</t>
        </is>
      </c>
      <c r="D11" s="12" t="inlineStr">
        <is>
          <t>P2级 归档或接线</t>
        </is>
      </c>
    </row>
    <row r="12">
      <c r="A12" s="12" t="inlineStr">
        <is>
          <t>L4知识层运行时=0</t>
        </is>
      </c>
      <c r="B12" s="15" t="inlineStr">
        <is>
          <t>部分修复</t>
        </is>
      </c>
      <c r="C12" s="12" t="inlineStr">
        <is>
          <t>4节点, activation_count=0</t>
        </is>
      </c>
      <c r="D12" s="12" t="inlineStr">
        <is>
          <t>P2-3 冷启动条件放宽</t>
        </is>
      </c>
    </row>
    <row r="13">
      <c r="A13" s="12" t="inlineStr">
        <is>
          <t>灰度开关默认值失实</t>
        </is>
      </c>
      <c r="B13" s="15" t="inlineStr">
        <is>
          <t>口径漂移</t>
        </is>
      </c>
      <c r="C13" s="12" t="inlineStr">
        <is>
          <t>实测110个(104T/5F/1env) vs 文档103</t>
        </is>
      </c>
      <c r="D13" s="12" t="inlineStr">
        <is>
          <t>P2-4 快照测试</t>
        </is>
      </c>
    </row>
    <row r="14">
      <c r="A14" s="12" t="inlineStr">
        <is>
          <t>except Exception 1251处</t>
        </is>
      </c>
      <c r="B14" s="13" t="inlineStr">
        <is>
          <t>恶化(2443处)</t>
        </is>
      </c>
      <c r="C14" s="12" t="inlineStr">
        <is>
          <t>238文件; except-pass 351处</t>
        </is>
      </c>
      <c r="D14" s="12" t="inlineStr">
        <is>
          <t>P1-11 预算门禁</t>
        </is>
      </c>
    </row>
    <row r="15">
      <c r="A15" s="12" t="inlineStr">
        <is>
          <t>ruff 575项</t>
        </is>
      </c>
      <c r="B15" s="13" t="inlineStr">
        <is>
          <t>恶化(899项)</t>
        </is>
      </c>
      <c r="C15" s="12" t="inlineStr">
        <is>
          <t>I001 230/UP031 222/RUF100 135</t>
        </is>
      </c>
      <c r="D15" s="12" t="inlineStr">
        <is>
          <t>P2级 批量autofix</t>
        </is>
      </c>
    </row>
    <row r="16">
      <c r="A16" s="12" t="inlineStr">
        <is>
          <t>pytest 594例</t>
        </is>
      </c>
      <c r="B16" s="15" t="inlineStr">
        <is>
          <t>大幅改善(1175例)</t>
        </is>
      </c>
      <c r="C16" s="12" t="inlineStr">
        <is>
          <t>79文件/1166通过/9失败(383.5s)</t>
        </is>
      </c>
      <c r="D16" s="12" t="inlineStr">
        <is>
          <t>调度链路7例失败待修</t>
        </is>
      </c>
    </row>
    <row r="17">
      <c r="A17" s="12" t="inlineStr">
        <is>
          <t>git未提交434项</t>
        </is>
      </c>
      <c r="B17" s="15" t="inlineStr">
        <is>
          <t>改善(226项)</t>
        </is>
      </c>
      <c r="C17" s="12" t="inlineStr">
        <is>
          <t>148M/77??/1D</t>
        </is>
      </c>
      <c r="D17" s="12" t="inlineStr">
        <is>
          <t>P3-1 分批入库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评分口径与审查方法</t>
        </is>
      </c>
    </row>
    <row r="3">
      <c r="A3" s="16" t="inlineStr">
        <is>
          <t>评分标准(任务书4.3)</t>
        </is>
      </c>
      <c r="B3" s="17" t="inlineStr"/>
    </row>
    <row r="4">
      <c r="A4" s="16" t="inlineStr">
        <is>
          <t>9-10 世界顶级</t>
        </is>
      </c>
      <c r="B4" s="17" t="inlineStr">
        <is>
          <t>达到或超越对标对象最佳实践</t>
        </is>
      </c>
    </row>
    <row r="5">
      <c r="A5" s="16" t="inlineStr">
        <is>
          <t>7-8 先进</t>
        </is>
      </c>
      <c r="B5" s="17" t="inlineStr">
        <is>
          <t>接近世界顶级,存在小幅差距</t>
        </is>
      </c>
    </row>
    <row r="6">
      <c r="A6" s="16" t="inlineStr">
        <is>
          <t>5-6 中等</t>
        </is>
      </c>
      <c r="B6" s="17" t="inlineStr">
        <is>
          <t>具备基本能力,与顶级有明显差距</t>
        </is>
      </c>
    </row>
    <row r="7">
      <c r="A7" s="16" t="inlineStr">
        <is>
          <t>3-4 初级</t>
        </is>
      </c>
      <c r="B7" s="17" t="inlineStr">
        <is>
          <t>能力不成熟,需大量投入</t>
        </is>
      </c>
    </row>
    <row r="8">
      <c r="A8" s="16" t="inlineStr">
        <is>
          <t>1-2 缺失</t>
        </is>
      </c>
      <c r="B8" s="17" t="inlineStr">
        <is>
          <t>基本未实现或严重缺陷</t>
        </is>
      </c>
    </row>
    <row r="9">
      <c r="A9" s="18" t="inlineStr"/>
      <c r="B9" s="17" t="inlineStr"/>
    </row>
    <row r="10">
      <c r="A10" s="16" t="inlineStr">
        <is>
          <t>总体评分</t>
        </is>
      </c>
      <c r="B10" s="17" t="inlineStr">
        <is>
          <t>5.4/10 = 十二维度加权平均(核心认知组61%/支撑组27%/基础组12%)</t>
        </is>
      </c>
    </row>
    <row r="11">
      <c r="A11" s="16" t="inlineStr">
        <is>
          <t>曈曈实测规模</t>
        </is>
      </c>
      <c r="B11" s="17" t="inlineStr">
        <is>
          <t>375文件/197,826行(排除.bak/缓存); 57器官类; pytest 1175例(1166通过/9失败); ruff 899项; except Exception 2443处; 灰度开关110个; git未提交226项</t>
        </is>
      </c>
    </row>
    <row r="12">
      <c r="A12" s="16" t="inlineStr">
        <is>
          <t>运行时快照(09-13 08:25)</t>
        </is>
      </c>
      <c r="B12" s="17" t="inlineStr">
        <is>
          <t>pulse_count=4968; errors=0; avg=2.21ms; queue_max_depth=615; task_pipeline.recent_count=0</t>
        </is>
      </c>
    </row>
    <row r="13">
      <c r="A13" s="16" t="inlineStr">
        <is>
          <t>审查方法</t>
        </is>
      </c>
      <c r="B13" s="17" t="inlineStr">
        <is>
          <t>6路并行深度代码审读(每路独立file:line取证)+静态分析(find/wc/ruff/pytest)+运行时json快照; 独立评分不参考09-11报告分数</t>
        </is>
      </c>
    </row>
    <row r="14">
      <c r="A14" s="16" t="inlineStr">
        <is>
          <t>两次独立审查收敛性</t>
        </is>
      </c>
      <c r="B14" s="17" t="inlineStr">
        <is>
          <t>本次加权5.4 vs 09-11报告5.2, 结论高度一致, 交叉增强可信度</t>
        </is>
      </c>
    </row>
    <row r="15">
      <c r="A15" s="16" t="inlineStr">
        <is>
          <t>已知局限</t>
        </is>
      </c>
      <c r="B15" s="17" t="inlineStr">
        <is>
          <t>未做故障注入与内存profiling(常驻框架在跑,注入有风险); 性能结论基于代码结构+运行时指标而非压测; 对标对象分数为基于公开能力的评估性打分</t>
        </is>
      </c>
    </row>
    <row r="17">
      <c r="A17" s="16" t="inlineStr">
        <is>
          <t>加权总分校验值(公式打开自动重算; 此处为静态校验值)</t>
        </is>
      </c>
      <c r="B17" s="19" t="inlineStr"/>
    </row>
    <row r="18">
      <c r="A18" s="18" t="inlineStr">
        <is>
          <t>曈曈v9.5</t>
        </is>
      </c>
      <c r="B18" s="17" t="inlineStr">
        <is>
          <t>5.40 —— 与主报告总体评分5.4一致</t>
        </is>
      </c>
    </row>
    <row r="19">
      <c r="A19" s="18" t="inlineStr">
        <is>
          <t>Devin</t>
        </is>
      </c>
      <c r="B19" s="17" t="inlineStr">
        <is>
          <t>5.78</t>
        </is>
      </c>
    </row>
    <row r="20">
      <c r="A20" s="18" t="inlineStr">
        <is>
          <t>Claude Computer Use</t>
        </is>
      </c>
      <c r="B20" s="17" t="inlineStr">
        <is>
          <t>6.06</t>
        </is>
      </c>
    </row>
    <row r="21">
      <c r="A21" s="18" t="inlineStr">
        <is>
          <t>AutoGPT</t>
        </is>
      </c>
      <c r="B21" s="17" t="inlineStr">
        <is>
          <t>4.03</t>
        </is>
      </c>
    </row>
    <row r="22">
      <c r="A22" s="18" t="inlineStr">
        <is>
          <t>GPT-4o</t>
        </is>
      </c>
      <c r="B22" s="17" t="inlineStr">
        <is>
          <t>7.36</t>
        </is>
      </c>
    </row>
    <row r="23">
      <c r="A23" s="18" t="inlineStr">
        <is>
          <t>Claude 3.5 Sonnet</t>
        </is>
      </c>
      <c r="B23" s="17" t="inlineStr">
        <is>
          <t>7.27</t>
        </is>
      </c>
    </row>
    <row r="24">
      <c r="A24" s="16" t="inlineStr">
        <is>
          <t>解读</t>
        </is>
      </c>
      <c r="B24" s="19" t="inlineStr">
        <is>
          <t>加权口径下曈曈(5.40)反超AutoGPT(4.03)、逼近Claude CU(6.06)——得益于自我意识/情感社交两个独有维度的高分; 但与GPT-4o/Claude 3.5(7.3+)仍有约2分差距, 主要失分于认知推理(3.5)与多模态(4.0)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2026-09-13T00:49:44Z</dcterms:created>
  <dcterms:modified xmlns:dcterms="http://purl.org/dc/terms/" xmlns:xsi="http://www.w3.org/2001/XMLSchema-instance" xsi:type="dcterms:W3CDTF">2026-09-13T00:50:22Z</dcterms:modified>
</cp:coreProperties>
</file>